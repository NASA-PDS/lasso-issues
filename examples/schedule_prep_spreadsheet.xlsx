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adams/proj/pds/pdsen/workspace/lasso-issues/examples/"/>
    </mc:Choice>
  </mc:AlternateContent>
  <xr:revisionPtr revIDLastSave="0" documentId="13_ncr:1_{E14DE344-07C9-9940-92E8-B762D77CA847}" xr6:coauthVersionLast="47" xr6:coauthVersionMax="47" xr10:uidLastSave="{00000000-0000-0000-0000-000000000000}"/>
  <bookViews>
    <workbookView xWindow="1200" yWindow="940" windowWidth="33240" windowHeight="15540" activeTab="1" xr2:uid="{77BE7B00-5D39-0F40-9AE5-E33691EB16DC}"/>
  </bookViews>
  <sheets>
    <sheet name="Release Date" sheetId="3" r:id="rId1"/>
    <sheet name="b18_schedule_prep_spreadsheet" sheetId="4" r:id="rId2"/>
    <sheet name="b17_schedule_prep_spreadsheet" sheetId="2" r:id="rId3"/>
    <sheet name="Baseline" sheetId="1" r:id="rId4"/>
  </sheets>
  <definedNames>
    <definedName name="_xlnm._FilterDatabase" localSheetId="3" hidden="1">Baseline!$A$1:$H$13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4" l="1"/>
  <c r="K19" i="4" s="1"/>
  <c r="D18" i="4"/>
  <c r="K18" i="4" s="1"/>
  <c r="D17" i="4"/>
  <c r="K17" i="4" s="1"/>
  <c r="D16" i="4"/>
  <c r="K16" i="4" s="1"/>
  <c r="D15" i="4"/>
  <c r="K15" i="4" s="1"/>
  <c r="D14" i="4"/>
  <c r="C14" i="4" s="1"/>
  <c r="J14" i="4" s="1"/>
  <c r="D13" i="4"/>
  <c r="K13" i="4" s="1"/>
  <c r="D12" i="4"/>
  <c r="K12" i="4" s="1"/>
  <c r="D11" i="4"/>
  <c r="C11" i="4" s="1"/>
  <c r="D10" i="4"/>
  <c r="C10" i="4" s="1"/>
  <c r="J10" i="4" s="1"/>
  <c r="D9" i="4"/>
  <c r="K9" i="4" s="1"/>
  <c r="C9" i="4"/>
  <c r="J9" i="4" s="1"/>
  <c r="D8" i="4"/>
  <c r="K8" i="4" s="1"/>
  <c r="C8" i="4"/>
  <c r="J8" i="4" s="1"/>
  <c r="D7" i="4"/>
  <c r="C7" i="4" s="1"/>
  <c r="J7" i="4" s="1"/>
  <c r="D6" i="4"/>
  <c r="K6" i="4" s="1"/>
  <c r="C6" i="4"/>
  <c r="J6" i="4" s="1"/>
  <c r="K5" i="4"/>
  <c r="D5" i="4"/>
  <c r="C5" i="4"/>
  <c r="J5" i="4" s="1"/>
  <c r="D4" i="4"/>
  <c r="C4" i="4" s="1"/>
  <c r="J4" i="4" s="1"/>
  <c r="D3" i="4"/>
  <c r="C3" i="4"/>
  <c r="D2" i="4"/>
  <c r="K2" i="4" s="1"/>
  <c r="D17" i="2"/>
  <c r="C17" i="2" s="1"/>
  <c r="J17" i="2" s="1"/>
  <c r="D3" i="2"/>
  <c r="C3" i="2" s="1"/>
  <c r="D11" i="2"/>
  <c r="C11" i="2" s="1"/>
  <c r="D10" i="2"/>
  <c r="K10" i="2" s="1"/>
  <c r="F3" i="1"/>
  <c r="E3" i="1"/>
  <c r="F2" i="1"/>
  <c r="D2" i="2"/>
  <c r="K2" i="2" s="1"/>
  <c r="E2" i="1"/>
  <c r="D6" i="2"/>
  <c r="K6" i="2" s="1"/>
  <c r="D4" i="2"/>
  <c r="C4" i="2" s="1"/>
  <c r="J4" i="2" s="1"/>
  <c r="D5" i="2"/>
  <c r="C5" i="2" s="1"/>
  <c r="J5" i="2" s="1"/>
  <c r="D7" i="2"/>
  <c r="C7" i="2" s="1"/>
  <c r="J7" i="2" s="1"/>
  <c r="D8" i="2"/>
  <c r="C8" i="2" s="1"/>
  <c r="J8" i="2" s="1"/>
  <c r="D9" i="2"/>
  <c r="C9" i="2" s="1"/>
  <c r="J9" i="2" s="1"/>
  <c r="D12" i="2"/>
  <c r="C12" i="2" s="1"/>
  <c r="J12" i="2" s="1"/>
  <c r="D13" i="2"/>
  <c r="C13" i="2" s="1"/>
  <c r="J13" i="2" s="1"/>
  <c r="D14" i="2"/>
  <c r="C14" i="2" s="1"/>
  <c r="J14" i="2" s="1"/>
  <c r="D15" i="2"/>
  <c r="C15" i="2" s="1"/>
  <c r="J15" i="2" s="1"/>
  <c r="D16" i="2"/>
  <c r="C16" i="2" s="1"/>
  <c r="J16" i="2" s="1"/>
  <c r="D19" i="2"/>
  <c r="K19" i="2" s="1"/>
  <c r="D18" i="2"/>
  <c r="K18" i="2" s="1"/>
  <c r="F4" i="1"/>
  <c r="F5" i="1"/>
  <c r="F6" i="1"/>
  <c r="F7" i="1"/>
  <c r="F8" i="1"/>
  <c r="F9" i="1"/>
  <c r="F10" i="1"/>
  <c r="F12" i="1"/>
  <c r="F13" i="1"/>
  <c r="F11" i="1"/>
  <c r="E6" i="1"/>
  <c r="E9" i="1"/>
  <c r="E10" i="1"/>
  <c r="E13" i="1"/>
  <c r="E12" i="1"/>
  <c r="E11" i="1"/>
  <c r="E4" i="1"/>
  <c r="E5" i="1"/>
  <c r="E7" i="1"/>
  <c r="E14" i="1"/>
  <c r="E15" i="1"/>
  <c r="E16" i="1"/>
  <c r="E17" i="1"/>
  <c r="E8" i="1"/>
  <c r="C13" i="4" l="1"/>
  <c r="J13" i="4" s="1"/>
  <c r="C16" i="4"/>
  <c r="J16" i="4" s="1"/>
  <c r="K17" i="2"/>
  <c r="C17" i="4"/>
  <c r="J17" i="4" s="1"/>
  <c r="K14" i="4"/>
  <c r="K4" i="4"/>
  <c r="K7" i="4"/>
  <c r="K10" i="4"/>
  <c r="C2" i="4"/>
  <c r="J2" i="4" s="1"/>
  <c r="C12" i="4"/>
  <c r="J12" i="4" s="1"/>
  <c r="C15" i="4"/>
  <c r="J15" i="4" s="1"/>
  <c r="C18" i="4"/>
  <c r="J18" i="4" s="1"/>
  <c r="C19" i="4"/>
  <c r="J19" i="4" s="1"/>
  <c r="C10" i="2"/>
  <c r="J10" i="2" s="1"/>
  <c r="C2" i="2"/>
  <c r="J2" i="2" s="1"/>
  <c r="C6" i="2"/>
  <c r="J6" i="2" s="1"/>
  <c r="K5" i="2"/>
  <c r="K4" i="2"/>
  <c r="K7" i="2"/>
  <c r="K13" i="2"/>
  <c r="C19" i="2"/>
  <c r="J19" i="2" s="1"/>
  <c r="K9" i="2"/>
  <c r="K16" i="2"/>
  <c r="K15" i="2"/>
  <c r="K14" i="2"/>
  <c r="K12" i="2"/>
  <c r="C18" i="2"/>
  <c r="J18" i="2" s="1"/>
  <c r="K8" i="2"/>
</calcChain>
</file>

<file path=xl/sharedStrings.xml><?xml version="1.0" encoding="utf-8"?>
<sst xmlns="http://schemas.openxmlformats.org/spreadsheetml/2006/main" count="230" uniqueCount="88">
  <si>
    <t xml:space="preserve">Task </t>
  </si>
  <si>
    <t>B16 dLDD Integration &amp; Test</t>
  </si>
  <si>
    <t>Checklist</t>
  </si>
  <si>
    <t>Generate and Deliver Discipline LDDs for I&amp;T;Discipline LDD Review (dLDD Stewards Teams);Discipline LDD Freeze</t>
  </si>
  <si>
    <t>Repo</t>
  </si>
  <si>
    <t>NASA-PDS/system-i-n-t</t>
  </si>
  <si>
    <t>Start Date</t>
  </si>
  <si>
    <t>End Date</t>
  </si>
  <si>
    <t>B16 Standards Document Review</t>
  </si>
  <si>
    <t>Review Standards Reference Document Updates;Complete Doc Updates Per Review Comments</t>
  </si>
  <si>
    <t xml:space="preserve">B16 System Integration &amp; Test </t>
  </si>
  <si>
    <t>Perform System Testing;Generate Test Report;Update EN Node webpage with Test Report</t>
  </si>
  <si>
    <t>B16 Deployment and Release</t>
  </si>
  <si>
    <t>Deployment of Test Environment;
Deployment of Production Environment - https://docs.google.com/spreadsheets/d/1f1zK9hdR3RWQP9PiR80EMFQ3xDqca1tK2a7oqSCKuHE/edit?usp=sharing;
Webpage Updated - documents , discipline LDDs, TBD mission LDDs;Release announcement to public</t>
  </si>
  <si>
    <t>B16 Delivery &amp; Deployment Review (DDR)</t>
  </si>
  <si>
    <t>Generate and Release Final Release Description Document (RDD);Generate &amp; Submit DDR Presentation;Release Test Report;DDR - TBD date</t>
  </si>
  <si>
    <t>B16 Information Model I&amp;T</t>
  </si>
  <si>
    <t>Description</t>
  </si>
  <si>
    <t>Discipline LDD Integration &amp; Test</t>
  </si>
  <si>
    <t>Standards Document Review</t>
  </si>
  <si>
    <t xml:space="preserve">System Integration &amp; Test </t>
  </si>
  <si>
    <t>Deployment and Release</t>
  </si>
  <si>
    <t>Delivery &amp; Deployment Review (DDR)</t>
  </si>
  <si>
    <t>Information Model I&amp;T</t>
  </si>
  <si>
    <t>B16 Information Model SCR Implementation and LDDTool Updates</t>
  </si>
  <si>
    <t>NASA-PDS/pds4-information-model</t>
  </si>
  <si>
    <t>B16 Information Model Delivery to I&amp;T</t>
  </si>
  <si>
    <t>Wrap up remaining SCR implementations;Deliver IM to I&amp;T</t>
  </si>
  <si>
    <t xml:space="preserve"> Information Model Delivery to I&amp;T</t>
  </si>
  <si>
    <t>B16 SCR Freeze</t>
  </si>
  <si>
    <t>DDWG SCR Freeze</t>
  </si>
  <si>
    <t>B16 Standards Documents Updates</t>
  </si>
  <si>
    <t>Standards Reference Document Update;Generate labels and DOIs for documents
Data Provider's Handbook Updates</t>
  </si>
  <si>
    <t>Release Date</t>
  </si>
  <si>
    <t>Length (days)</t>
  </si>
  <si>
    <t>End Date - Days from Release</t>
  </si>
  <si>
    <t>Standards Documents Updates</t>
  </si>
  <si>
    <t>Information Model Delivery to I&amp;T</t>
  </si>
  <si>
    <t>Information Model SCR Implementation and LDDTool Updates</t>
  </si>
  <si>
    <t>NASA-PDS/registry</t>
  </si>
  <si>
    <t>LOE support for high priority improvements to Registry</t>
  </si>
  <si>
    <t>Completion Days Before Release</t>
  </si>
  <si>
    <t>Validate</t>
  </si>
  <si>
    <t>Validate Start Date</t>
  </si>
  <si>
    <t>Validate End Date</t>
  </si>
  <si>
    <t>NASA-PDS/registry-api</t>
  </si>
  <si>
    <t>LOE support for high priority improvements to Registry API</t>
  </si>
  <si>
    <t>NASA-PDS/validate</t>
  </si>
  <si>
    <t>LOE support for high priority improvements to Validate</t>
  </si>
  <si>
    <t>NASA-PDS/data-upload-manager</t>
  </si>
  <si>
    <t>LOE support for high priority improvements to Data Upload Manager</t>
  </si>
  <si>
    <t>Deployment of Test Environment;Deployment of Production Environment - https://docs.google.com/spreadsheets/d/1f1zK9hdR3RWQP9PiR80EMFQ3xDqca1tK2a7oqSCKuHE/edit?usp=sharing;Webpage Updated - documents , discipline LDDs, TBD mission LDDs;Release announcement to public</t>
  </si>
  <si>
    <t>Title</t>
  </si>
  <si>
    <t>Release Planning</t>
  </si>
  <si>
    <t>NASA-PDS/software-issues-repo</t>
  </si>
  <si>
    <t>GitHub Project Product</t>
  </si>
  <si>
    <t>System Engineering</t>
  </si>
  <si>
    <t>Search API</t>
  </si>
  <si>
    <t>Data Upload Manager</t>
  </si>
  <si>
    <t>Registry Tools</t>
  </si>
  <si>
    <t>PDS4 Information Model</t>
  </si>
  <si>
    <t>I&amp;T and Release</t>
  </si>
  <si>
    <t>Security Scan</t>
  </si>
  <si>
    <t>NASA-PDS/planetary-data-cloud</t>
  </si>
  <si>
    <t>Review cloud resources for possible cost cutting opportunities. See wiki "Bi-Annual Cloud Resource Review" for more details.</t>
  </si>
  <si>
    <t>Triage results on SonarCube Cloud;Inform SEO Security that Dispositions are available</t>
  </si>
  <si>
    <t>Triage Security Code Scans from SonarCloud</t>
  </si>
  <si>
    <t>NASA-PDS/registry-legacy-solr</t>
  </si>
  <si>
    <t>LOE support for high priority improvements to Legacy Solr Registry</t>
  </si>
  <si>
    <t>Cloud Operations</t>
  </si>
  <si>
    <t>$BUILD Release Planning</t>
  </si>
  <si>
    <t>$BUILD Registry Legacy Support: High Priority Enhancements / Bug Fixes / Tasks</t>
  </si>
  <si>
    <t>$BUILD Validate Support: High Priority Enhancements / Bug Fixes / Tasks</t>
  </si>
  <si>
    <t>$BUILD Registry API Support: High Priority Enhancements / Bug Fixes / Tasks</t>
  </si>
  <si>
    <t>$BUILD DUM Support:  High Priority Enhancements / Bug Fixes / Tasks</t>
  </si>
  <si>
    <t>$BUILD Registry Support: High Priority Enhancements / Bug Fixes / Tasks</t>
  </si>
  <si>
    <t>$BUILD Information Model SCR Implementation and LDDTool Updates</t>
  </si>
  <si>
    <t>$BUILD SCR Freeze</t>
  </si>
  <si>
    <t>$BUILD Triage Security Code Scans</t>
  </si>
  <si>
    <t>$BUILD Bi-annual Cloud Resource Housekeeping</t>
  </si>
  <si>
    <t>$BUILD Information Model Delivery to I&amp;T</t>
  </si>
  <si>
    <t>$BUILD dLDD Integration &amp; Test</t>
  </si>
  <si>
    <t>$BUILD Standards Documents Updates</t>
  </si>
  <si>
    <t>$BUILD Standards Document Review</t>
  </si>
  <si>
    <t>$BUILD Information Model I&amp;T</t>
  </si>
  <si>
    <t xml:space="preserve">$BUILD System Integration &amp; Test </t>
  </si>
  <si>
    <t>$BUILD Delivery &amp; Deployment Review (DDR)</t>
  </si>
  <si>
    <t>$BUILD Deployment and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</si>
</sst>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48EFC-41A1-4640-A0C3-1CC5C8FAC31B}">
  <dimension ref="A1:B4"/>
  <sheetViews>
    <sheetView workbookViewId="0">
      <selection activeCell="B2" sqref="B2"/>
    </sheetView>
  </sheetViews>
  <sheetFormatPr baseColWidth="10" defaultRowHeight="16" x14ac:dyDescent="0.2"/>
  <sheetData>
    <row r="1" spans="1:2" x14ac:dyDescent="0.2">
      <c r="A1" t="s">
        <v>33</v>
      </c>
      <c r="B1" s="4">
        <v>46366</v>
      </c>
    </row>
    <row r="4" spans="1:2" x14ac:dyDescent="0.2">
      <c r="B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7D9C4-D69C-794B-81EF-3216314ED497}">
  <dimension ref="A1:L27"/>
  <sheetViews>
    <sheetView tabSelected="1" workbookViewId="0">
      <selection activeCell="C2" sqref="C2"/>
    </sheetView>
  </sheetViews>
  <sheetFormatPr baseColWidth="10" defaultRowHeight="16" x14ac:dyDescent="0.2"/>
  <cols>
    <col min="1" max="1" width="55.1640625" bestFit="1" customWidth="1"/>
    <col min="2" max="2" width="30.1640625" bestFit="1" customWidth="1"/>
    <col min="6" max="6" width="29.6640625" customWidth="1"/>
    <col min="7" max="7" width="9" customWidth="1"/>
    <col min="8" max="8" width="18.5" customWidth="1"/>
    <col min="9" max="9" width="83.1640625" customWidth="1"/>
    <col min="12" max="12" width="12.83203125" customWidth="1"/>
  </cols>
  <sheetData>
    <row r="1" spans="1:12" x14ac:dyDescent="0.2">
      <c r="A1" t="s">
        <v>52</v>
      </c>
      <c r="B1" t="s">
        <v>4</v>
      </c>
      <c r="C1" t="s">
        <v>6</v>
      </c>
      <c r="D1" t="s">
        <v>7</v>
      </c>
      <c r="E1" t="s">
        <v>34</v>
      </c>
      <c r="F1" t="s">
        <v>41</v>
      </c>
      <c r="G1" t="s">
        <v>17</v>
      </c>
      <c r="H1" t="s">
        <v>2</v>
      </c>
      <c r="I1" t="s">
        <v>55</v>
      </c>
      <c r="J1" t="s">
        <v>43</v>
      </c>
      <c r="K1" t="s">
        <v>44</v>
      </c>
    </row>
    <row r="2" spans="1:12" x14ac:dyDescent="0.2">
      <c r="A2" t="s">
        <v>70</v>
      </c>
      <c r="B2" t="s">
        <v>54</v>
      </c>
      <c r="C2" s="4">
        <f t="shared" ref="C2:C19" si="0">D2-E2</f>
        <v>46094</v>
      </c>
      <c r="D2" s="4">
        <f>'Release Date'!$B$1-F2</f>
        <v>46135</v>
      </c>
      <c r="E2" s="3">
        <v>41</v>
      </c>
      <c r="F2">
        <v>231</v>
      </c>
      <c r="G2" t="s">
        <v>48</v>
      </c>
      <c r="I2" t="s">
        <v>56</v>
      </c>
      <c r="J2" s="2" t="b">
        <f>IF(C2="","",(MOD(_xlfn.DAYS('Release Date'!$B$1,(C2+20)),21)=0))</f>
        <v>1</v>
      </c>
      <c r="K2" s="2" t="b">
        <f>IF(D2="","",(MOD(_xlfn.DAYS('Release Date'!$B$1,D2),21)=0))</f>
        <v>1</v>
      </c>
    </row>
    <row r="3" spans="1:12" x14ac:dyDescent="0.2">
      <c r="A3" t="s">
        <v>71</v>
      </c>
      <c r="B3" t="s">
        <v>67</v>
      </c>
      <c r="C3" s="4">
        <f t="shared" si="0"/>
        <v>46115</v>
      </c>
      <c r="D3" s="4">
        <f>'Release Date'!$B$1-F3</f>
        <v>46282</v>
      </c>
      <c r="E3" s="3">
        <v>167</v>
      </c>
      <c r="F3">
        <v>84</v>
      </c>
      <c r="G3" t="s">
        <v>68</v>
      </c>
      <c r="I3" t="s">
        <v>56</v>
      </c>
      <c r="J3" s="2"/>
      <c r="K3" s="2"/>
    </row>
    <row r="4" spans="1:12" x14ac:dyDescent="0.2">
      <c r="A4" t="s">
        <v>72</v>
      </c>
      <c r="B4" t="s">
        <v>47</v>
      </c>
      <c r="C4" s="4">
        <f t="shared" si="0"/>
        <v>46115</v>
      </c>
      <c r="D4" s="4">
        <f>'Release Date'!$B$1-F4</f>
        <v>46282</v>
      </c>
      <c r="E4" s="3">
        <v>167</v>
      </c>
      <c r="F4">
        <v>84</v>
      </c>
      <c r="G4" t="s">
        <v>48</v>
      </c>
      <c r="I4" t="s">
        <v>42</v>
      </c>
      <c r="J4" s="2" t="b">
        <f>IF(C4="","",(MOD(_xlfn.DAYS('Release Date'!$B$1,(C4+20)),21)=0))</f>
        <v>1</v>
      </c>
      <c r="K4" s="2" t="b">
        <f>IF(D4="","",(MOD(_xlfn.DAYS('Release Date'!$B$1,D4),21)=0))</f>
        <v>1</v>
      </c>
    </row>
    <row r="5" spans="1:12" x14ac:dyDescent="0.2">
      <c r="A5" t="s">
        <v>73</v>
      </c>
      <c r="B5" t="s">
        <v>45</v>
      </c>
      <c r="C5" s="4">
        <f t="shared" si="0"/>
        <v>46115</v>
      </c>
      <c r="D5" s="4">
        <f>'Release Date'!$B$1-F5</f>
        <v>46282</v>
      </c>
      <c r="E5" s="3">
        <v>167</v>
      </c>
      <c r="F5">
        <v>84</v>
      </c>
      <c r="G5" t="s">
        <v>46</v>
      </c>
      <c r="I5" t="s">
        <v>57</v>
      </c>
      <c r="J5" s="2" t="b">
        <f>IF(C5="","",(MOD(_xlfn.DAYS('Release Date'!$B$1,(C5+20)),21)=0))</f>
        <v>1</v>
      </c>
      <c r="K5" s="2" t="b">
        <f>IF(D5="","",(MOD(_xlfn.DAYS('Release Date'!$B$1,D5),21)=0))</f>
        <v>1</v>
      </c>
    </row>
    <row r="6" spans="1:12" x14ac:dyDescent="0.2">
      <c r="A6" t="s">
        <v>74</v>
      </c>
      <c r="B6" t="s">
        <v>49</v>
      </c>
      <c r="C6" s="4">
        <f t="shared" si="0"/>
        <v>46115</v>
      </c>
      <c r="D6" s="4">
        <f>'Release Date'!$B$1-F6</f>
        <v>46282</v>
      </c>
      <c r="E6" s="3">
        <v>167</v>
      </c>
      <c r="F6">
        <v>84</v>
      </c>
      <c r="G6" t="s">
        <v>50</v>
      </c>
      <c r="I6" t="s">
        <v>58</v>
      </c>
      <c r="J6" s="2" t="b">
        <f>IF(C6="","",(MOD(_xlfn.DAYS('Release Date'!$B$1,(C6+20)),21)=0))</f>
        <v>1</v>
      </c>
      <c r="K6" s="2" t="b">
        <f>IF(D6="","",(MOD(_xlfn.DAYS('Release Date'!$B$1,D6),21)=0))</f>
        <v>1</v>
      </c>
      <c r="L6" s="2"/>
    </row>
    <row r="7" spans="1:12" x14ac:dyDescent="0.2">
      <c r="A7" t="s">
        <v>75</v>
      </c>
      <c r="B7" t="s">
        <v>39</v>
      </c>
      <c r="C7" s="4">
        <f t="shared" si="0"/>
        <v>46115</v>
      </c>
      <c r="D7" s="4">
        <f>'Release Date'!$B$1-F7</f>
        <v>46282</v>
      </c>
      <c r="E7" s="3">
        <v>167</v>
      </c>
      <c r="F7">
        <v>84</v>
      </c>
      <c r="G7" t="s">
        <v>40</v>
      </c>
      <c r="I7" t="s">
        <v>59</v>
      </c>
      <c r="J7" s="2" t="b">
        <f>IF(C7="","",(MOD(_xlfn.DAYS('Release Date'!$B$1,(C7+20)),21)=0))</f>
        <v>1</v>
      </c>
      <c r="K7" s="2" t="b">
        <f>IF(D7="","",(MOD(_xlfn.DAYS('Release Date'!$B$1,D7),21)=0))</f>
        <v>1</v>
      </c>
      <c r="L7" s="2"/>
    </row>
    <row r="8" spans="1:12" x14ac:dyDescent="0.2">
      <c r="A8" t="s">
        <v>76</v>
      </c>
      <c r="B8" t="s">
        <v>25</v>
      </c>
      <c r="C8" s="4">
        <f t="shared" si="0"/>
        <v>46115</v>
      </c>
      <c r="D8" s="4">
        <f>'Release Date'!$B$1-F8</f>
        <v>46303</v>
      </c>
      <c r="E8">
        <v>188</v>
      </c>
      <c r="F8">
        <v>63</v>
      </c>
      <c r="G8" t="s">
        <v>38</v>
      </c>
      <c r="I8" t="s">
        <v>60</v>
      </c>
      <c r="J8" s="2" t="b">
        <f>IF(C8="","",(MOD(_xlfn.DAYS('Release Date'!$B$1,(C8+20)),21)=0))</f>
        <v>1</v>
      </c>
      <c r="K8" s="2" t="b">
        <f>IF(D8="","",(MOD(_xlfn.DAYS('Release Date'!$B$1,D8),21)=0))</f>
        <v>1</v>
      </c>
      <c r="L8" s="2"/>
    </row>
    <row r="9" spans="1:12" x14ac:dyDescent="0.2">
      <c r="A9" t="s">
        <v>77</v>
      </c>
      <c r="B9" t="s">
        <v>25</v>
      </c>
      <c r="C9" s="4">
        <f t="shared" si="0"/>
        <v>46282</v>
      </c>
      <c r="D9" s="4">
        <f>'Release Date'!$B$1-F9</f>
        <v>46282</v>
      </c>
      <c r="E9">
        <v>0</v>
      </c>
      <c r="F9">
        <v>84</v>
      </c>
      <c r="G9" t="s">
        <v>30</v>
      </c>
      <c r="I9" t="s">
        <v>60</v>
      </c>
      <c r="J9" s="2" t="b">
        <f>IF(C9="","",(MOD(_xlfn.DAYS('Release Date'!$B$1,(C9+20)),21)=0))</f>
        <v>0</v>
      </c>
      <c r="K9" s="2" t="b">
        <f>IF(D9="","",(MOD(_xlfn.DAYS('Release Date'!$B$1,D9),21)=0))</f>
        <v>1</v>
      </c>
      <c r="L9" s="2"/>
    </row>
    <row r="10" spans="1:12" x14ac:dyDescent="0.2">
      <c r="A10" t="s">
        <v>78</v>
      </c>
      <c r="B10" t="s">
        <v>54</v>
      </c>
      <c r="C10" s="4">
        <f t="shared" si="0"/>
        <v>46283</v>
      </c>
      <c r="D10" s="4">
        <f>'Release Date'!$B$1-F10</f>
        <v>46303</v>
      </c>
      <c r="E10">
        <v>20</v>
      </c>
      <c r="F10">
        <v>63</v>
      </c>
      <c r="G10" t="s">
        <v>66</v>
      </c>
      <c r="H10" t="s">
        <v>65</v>
      </c>
      <c r="I10" t="s">
        <v>56</v>
      </c>
      <c r="J10" s="2" t="b">
        <f>IF(C10="","",(MOD(_xlfn.DAYS('Release Date'!$B$1,(C10+20)),21)=0))</f>
        <v>1</v>
      </c>
      <c r="K10" s="2" t="b">
        <f>IF(D10="","",(MOD(_xlfn.DAYS('Release Date'!$B$1,D10),21)=0))</f>
        <v>1</v>
      </c>
      <c r="L10" s="2"/>
    </row>
    <row r="11" spans="1:12" x14ac:dyDescent="0.2">
      <c r="A11" t="s">
        <v>79</v>
      </c>
      <c r="B11" t="s">
        <v>63</v>
      </c>
      <c r="C11" s="4">
        <f t="shared" si="0"/>
        <v>46283</v>
      </c>
      <c r="D11" s="4">
        <f>'Release Date'!$B$1-F11</f>
        <v>46303</v>
      </c>
      <c r="E11">
        <v>20</v>
      </c>
      <c r="F11">
        <v>63</v>
      </c>
      <c r="G11" t="s">
        <v>64</v>
      </c>
      <c r="I11" t="s">
        <v>69</v>
      </c>
      <c r="J11" s="2"/>
      <c r="K11" s="2"/>
      <c r="L11" s="2"/>
    </row>
    <row r="12" spans="1:12" x14ac:dyDescent="0.2">
      <c r="A12" t="s">
        <v>80</v>
      </c>
      <c r="B12" t="s">
        <v>25</v>
      </c>
      <c r="C12" s="4">
        <f t="shared" si="0"/>
        <v>46283</v>
      </c>
      <c r="D12" s="4">
        <f>'Release Date'!$B$1-F12</f>
        <v>46303</v>
      </c>
      <c r="E12">
        <v>20</v>
      </c>
      <c r="F12">
        <v>63</v>
      </c>
      <c r="G12" t="s">
        <v>37</v>
      </c>
      <c r="H12" t="s">
        <v>27</v>
      </c>
      <c r="I12" t="s">
        <v>60</v>
      </c>
      <c r="J12" s="2" t="b">
        <f>IF(C12="","",(MOD(_xlfn.DAYS('Release Date'!$B$1,(C12+20)),21)=0))</f>
        <v>1</v>
      </c>
      <c r="K12" s="2" t="b">
        <f>IF(D12="","",(MOD(_xlfn.DAYS('Release Date'!$B$1,D12),21)=0))</f>
        <v>1</v>
      </c>
      <c r="L12" s="2"/>
    </row>
    <row r="13" spans="1:12" x14ac:dyDescent="0.2">
      <c r="A13" t="s">
        <v>82</v>
      </c>
      <c r="B13" t="s">
        <v>25</v>
      </c>
      <c r="C13" s="4">
        <f t="shared" si="0"/>
        <v>46283</v>
      </c>
      <c r="D13" s="4">
        <f>'Release Date'!$B$1-F13</f>
        <v>46303</v>
      </c>
      <c r="E13">
        <v>20</v>
      </c>
      <c r="F13">
        <v>63</v>
      </c>
      <c r="G13" t="s">
        <v>36</v>
      </c>
      <c r="H13" t="s">
        <v>32</v>
      </c>
      <c r="I13" t="s">
        <v>60</v>
      </c>
      <c r="J13" s="2" t="b">
        <f>IF(C13="","",(MOD(_xlfn.DAYS('Release Date'!$B$1,(C13+20)),21)=0))</f>
        <v>1</v>
      </c>
      <c r="K13" s="2" t="b">
        <f>IF(D13="","",(MOD(_xlfn.DAYS('Release Date'!$B$1,D13),21)=0))</f>
        <v>1</v>
      </c>
      <c r="L13" s="2"/>
    </row>
    <row r="14" spans="1:12" x14ac:dyDescent="0.2">
      <c r="A14" t="s">
        <v>81</v>
      </c>
      <c r="B14" t="s">
        <v>5</v>
      </c>
      <c r="C14" s="4">
        <f t="shared" si="0"/>
        <v>46304</v>
      </c>
      <c r="D14" s="4">
        <f>'Release Date'!$B$1-F14</f>
        <v>46345</v>
      </c>
      <c r="E14">
        <v>41</v>
      </c>
      <c r="F14">
        <v>21</v>
      </c>
      <c r="G14" t="s">
        <v>18</v>
      </c>
      <c r="H14" t="s">
        <v>3</v>
      </c>
      <c r="I14" t="s">
        <v>61</v>
      </c>
      <c r="J14" s="2" t="b">
        <f>IF(C14="","",(MOD(_xlfn.DAYS('Release Date'!$B$1,(C14+20)),21)=0))</f>
        <v>1</v>
      </c>
      <c r="K14" s="2" t="b">
        <f>IF(D14="","",(MOD(_xlfn.DAYS('Release Date'!$B$1,D14),21)=0))</f>
        <v>1</v>
      </c>
      <c r="L14" s="2"/>
    </row>
    <row r="15" spans="1:12" x14ac:dyDescent="0.2">
      <c r="A15" t="s">
        <v>83</v>
      </c>
      <c r="B15" t="s">
        <v>5</v>
      </c>
      <c r="C15" s="4">
        <f t="shared" si="0"/>
        <v>46304</v>
      </c>
      <c r="D15" s="4">
        <f>'Release Date'!$B$1-F15</f>
        <v>46345</v>
      </c>
      <c r="E15">
        <v>41</v>
      </c>
      <c r="F15">
        <v>21</v>
      </c>
      <c r="G15" t="s">
        <v>19</v>
      </c>
      <c r="H15" t="s">
        <v>9</v>
      </c>
      <c r="I15" t="s">
        <v>61</v>
      </c>
      <c r="J15" s="2" t="b">
        <f>IF(C15="","",(MOD(_xlfn.DAYS('Release Date'!$B$1,(C15+20)),21)=0))</f>
        <v>1</v>
      </c>
      <c r="K15" s="2" t="b">
        <f>IF(D15="","",(MOD(_xlfn.DAYS('Release Date'!$B$1,D15),21)=0))</f>
        <v>1</v>
      </c>
      <c r="L15" s="2"/>
    </row>
    <row r="16" spans="1:12" x14ac:dyDescent="0.2">
      <c r="A16" t="s">
        <v>85</v>
      </c>
      <c r="B16" t="s">
        <v>5</v>
      </c>
      <c r="C16" s="4">
        <f t="shared" si="0"/>
        <v>46304</v>
      </c>
      <c r="D16" s="4">
        <f>'Release Date'!$B$1-F16</f>
        <v>46345</v>
      </c>
      <c r="E16">
        <v>41</v>
      </c>
      <c r="F16">
        <v>21</v>
      </c>
      <c r="G16" t="s">
        <v>20</v>
      </c>
      <c r="H16" t="s">
        <v>11</v>
      </c>
      <c r="I16" t="s">
        <v>61</v>
      </c>
      <c r="J16" s="2" t="b">
        <f>IF(C16="","",(MOD(_xlfn.DAYS('Release Date'!$B$1,(C16+20)),21)=0))</f>
        <v>1</v>
      </c>
      <c r="K16" s="2" t="b">
        <f>IF(D16="","",(MOD(_xlfn.DAYS('Release Date'!$B$1,D16),21)=0))</f>
        <v>1</v>
      </c>
      <c r="L16" s="2"/>
    </row>
    <row r="17" spans="1:12" x14ac:dyDescent="0.2">
      <c r="A17" t="s">
        <v>84</v>
      </c>
      <c r="B17" t="s">
        <v>5</v>
      </c>
      <c r="C17" s="4">
        <f t="shared" si="0"/>
        <v>46304</v>
      </c>
      <c r="D17" s="4">
        <f>'Release Date'!$B$1-F17</f>
        <v>46325</v>
      </c>
      <c r="E17">
        <v>21</v>
      </c>
      <c r="F17">
        <v>41</v>
      </c>
      <c r="G17" t="s">
        <v>23</v>
      </c>
      <c r="I17" t="s">
        <v>61</v>
      </c>
      <c r="J17" s="2" t="b">
        <f>IF(C17="","",(MOD(_xlfn.DAYS('Release Date'!$B$1,(C17+20)),21)=0))</f>
        <v>1</v>
      </c>
      <c r="K17" s="2" t="b">
        <f>IF(D17="","",(MOD(_xlfn.DAYS('Release Date'!$B$1,D17),21)=0))</f>
        <v>0</v>
      </c>
      <c r="L17" s="2"/>
    </row>
    <row r="18" spans="1:12" x14ac:dyDescent="0.2">
      <c r="A18" t="s">
        <v>86</v>
      </c>
      <c r="B18" t="s">
        <v>5</v>
      </c>
      <c r="C18" s="4">
        <f t="shared" si="0"/>
        <v>46325</v>
      </c>
      <c r="D18" s="4">
        <f>'Release Date'!$B$1-F18</f>
        <v>46366</v>
      </c>
      <c r="E18">
        <v>41</v>
      </c>
      <c r="F18">
        <v>0</v>
      </c>
      <c r="G18" t="s">
        <v>22</v>
      </c>
      <c r="H18" t="s">
        <v>15</v>
      </c>
      <c r="I18" t="s">
        <v>61</v>
      </c>
      <c r="J18" s="2" t="b">
        <f>IF(C18="","",(MOD(_xlfn.DAYS('Release Date'!$B$1,(C18+20)),21)=0))</f>
        <v>1</v>
      </c>
      <c r="K18" s="2" t="b">
        <f>IF(D18="","",(MOD(_xlfn.DAYS('Release Date'!$B$1,D18),21)=0))</f>
        <v>1</v>
      </c>
      <c r="L18" s="2"/>
    </row>
    <row r="19" spans="1:12" x14ac:dyDescent="0.2">
      <c r="A19" t="s">
        <v>87</v>
      </c>
      <c r="B19" t="s">
        <v>5</v>
      </c>
      <c r="C19" s="4">
        <f t="shared" si="0"/>
        <v>46346</v>
      </c>
      <c r="D19" s="4">
        <f>'Release Date'!$B$1-F19</f>
        <v>46366</v>
      </c>
      <c r="E19">
        <v>20</v>
      </c>
      <c r="F19">
        <v>0</v>
      </c>
      <c r="G19" t="s">
        <v>21</v>
      </c>
      <c r="H19" t="s">
        <v>51</v>
      </c>
      <c r="I19" t="s">
        <v>61</v>
      </c>
      <c r="J19" s="2" t="b">
        <f>IF(C19="","",(MOD(_xlfn.DAYS('Release Date'!$B$1,(C19+20)),21)=0))</f>
        <v>1</v>
      </c>
      <c r="K19" s="2" t="b">
        <f>IF(D19="","",(MOD(_xlfn.DAYS('Release Date'!$B$1,D19),21)=0))</f>
        <v>1</v>
      </c>
      <c r="L19" s="2"/>
    </row>
    <row r="20" spans="1:12" x14ac:dyDescent="0.2">
      <c r="C20" s="4"/>
      <c r="D20" s="4"/>
    </row>
    <row r="21" spans="1:12" x14ac:dyDescent="0.2">
      <c r="C21" s="4"/>
      <c r="D21" s="4"/>
    </row>
    <row r="22" spans="1:12" x14ac:dyDescent="0.2">
      <c r="C22" s="4"/>
      <c r="D22" s="4"/>
    </row>
    <row r="23" spans="1:12" x14ac:dyDescent="0.2">
      <c r="C23" s="4"/>
      <c r="D23" s="4"/>
    </row>
    <row r="24" spans="1:12" x14ac:dyDescent="0.2">
      <c r="C24" s="4"/>
      <c r="D24" s="4"/>
    </row>
    <row r="25" spans="1:12" x14ac:dyDescent="0.2">
      <c r="C25" s="4"/>
      <c r="D25" s="4"/>
    </row>
    <row r="26" spans="1:12" x14ac:dyDescent="0.2">
      <c r="C26" s="4"/>
      <c r="D26" s="4"/>
    </row>
    <row r="27" spans="1:12" x14ac:dyDescent="0.2">
      <c r="C27" s="4"/>
      <c r="D2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282D7-36CC-A540-8420-FCD049761715}">
  <dimension ref="A1:L27"/>
  <sheetViews>
    <sheetView workbookViewId="0">
      <selection activeCell="D2" sqref="D2"/>
    </sheetView>
  </sheetViews>
  <sheetFormatPr baseColWidth="10" defaultRowHeight="16" x14ac:dyDescent="0.2"/>
  <cols>
    <col min="1" max="1" width="55.1640625" bestFit="1" customWidth="1"/>
    <col min="2" max="2" width="30.1640625" bestFit="1" customWidth="1"/>
    <col min="6" max="6" width="29.6640625" customWidth="1"/>
    <col min="7" max="7" width="9" customWidth="1"/>
    <col min="8" max="8" width="18.5" customWidth="1"/>
    <col min="9" max="9" width="83.1640625" customWidth="1"/>
    <col min="12" max="12" width="12.83203125" customWidth="1"/>
  </cols>
  <sheetData>
    <row r="1" spans="1:12" x14ac:dyDescent="0.2">
      <c r="A1" t="s">
        <v>52</v>
      </c>
      <c r="B1" t="s">
        <v>4</v>
      </c>
      <c r="C1" t="s">
        <v>6</v>
      </c>
      <c r="D1" t="s">
        <v>7</v>
      </c>
      <c r="E1" t="s">
        <v>34</v>
      </c>
      <c r="F1" t="s">
        <v>41</v>
      </c>
      <c r="G1" t="s">
        <v>17</v>
      </c>
      <c r="H1" t="s">
        <v>2</v>
      </c>
      <c r="I1" t="s">
        <v>55</v>
      </c>
      <c r="J1" t="s">
        <v>43</v>
      </c>
      <c r="K1" t="s">
        <v>44</v>
      </c>
    </row>
    <row r="2" spans="1:12" x14ac:dyDescent="0.2">
      <c r="A2" t="s">
        <v>70</v>
      </c>
      <c r="B2" t="s">
        <v>54</v>
      </c>
      <c r="C2" s="4">
        <f t="shared" ref="C2:C3" si="0">D2-E2</f>
        <v>46094</v>
      </c>
      <c r="D2" s="4">
        <f>'Release Date'!$B$1-F2</f>
        <v>46135</v>
      </c>
      <c r="E2" s="3">
        <v>41</v>
      </c>
      <c r="F2">
        <v>231</v>
      </c>
      <c r="G2" t="s">
        <v>48</v>
      </c>
      <c r="I2" t="s">
        <v>56</v>
      </c>
      <c r="J2" s="2" t="b">
        <f>IF(C2="","",(MOD(_xlfn.DAYS('Release Date'!$B$1,(C2+20)),21)=0))</f>
        <v>1</v>
      </c>
      <c r="K2" s="2" t="b">
        <f>IF(D2="","",(MOD(_xlfn.DAYS('Release Date'!$B$1,D2),21)=0))</f>
        <v>1</v>
      </c>
    </row>
    <row r="3" spans="1:12" x14ac:dyDescent="0.2">
      <c r="A3" t="s">
        <v>71</v>
      </c>
      <c r="B3" t="s">
        <v>67</v>
      </c>
      <c r="C3" s="4">
        <f t="shared" si="0"/>
        <v>46115</v>
      </c>
      <c r="D3" s="4">
        <f>'Release Date'!$B$1-F3</f>
        <v>46282</v>
      </c>
      <c r="E3" s="3">
        <v>167</v>
      </c>
      <c r="F3">
        <v>84</v>
      </c>
      <c r="G3" t="s">
        <v>68</v>
      </c>
      <c r="I3" t="s">
        <v>56</v>
      </c>
      <c r="J3" s="2"/>
      <c r="K3" s="2"/>
    </row>
    <row r="4" spans="1:12" x14ac:dyDescent="0.2">
      <c r="A4" t="s">
        <v>72</v>
      </c>
      <c r="B4" t="s">
        <v>47</v>
      </c>
      <c r="C4" s="4">
        <f t="shared" ref="C4" si="1">D4-E4</f>
        <v>46115</v>
      </c>
      <c r="D4" s="4">
        <f>'Release Date'!$B$1-F4</f>
        <v>46282</v>
      </c>
      <c r="E4" s="3">
        <v>167</v>
      </c>
      <c r="F4">
        <v>84</v>
      </c>
      <c r="G4" t="s">
        <v>48</v>
      </c>
      <c r="I4" t="s">
        <v>42</v>
      </c>
      <c r="J4" s="2" t="b">
        <f>IF(C4="","",(MOD(_xlfn.DAYS('Release Date'!$B$1,(C4+20)),21)=0))</f>
        <v>1</v>
      </c>
      <c r="K4" s="2" t="b">
        <f>IF(D4="","",(MOD(_xlfn.DAYS('Release Date'!$B$1,D4),21)=0))</f>
        <v>1</v>
      </c>
    </row>
    <row r="5" spans="1:12" x14ac:dyDescent="0.2">
      <c r="A5" t="s">
        <v>73</v>
      </c>
      <c r="B5" t="s">
        <v>45</v>
      </c>
      <c r="C5" s="4">
        <f t="shared" ref="C5:C6" si="2">D5-E5</f>
        <v>46115</v>
      </c>
      <c r="D5" s="4">
        <f>'Release Date'!$B$1-F5</f>
        <v>46282</v>
      </c>
      <c r="E5" s="3">
        <v>167</v>
      </c>
      <c r="F5">
        <v>84</v>
      </c>
      <c r="G5" t="s">
        <v>46</v>
      </c>
      <c r="I5" t="s">
        <v>57</v>
      </c>
      <c r="J5" s="2" t="b">
        <f>IF(C5="","",(MOD(_xlfn.DAYS('Release Date'!$B$1,(C5+20)),21)=0))</f>
        <v>1</v>
      </c>
      <c r="K5" s="2" t="b">
        <f>IF(D5="","",(MOD(_xlfn.DAYS('Release Date'!$B$1,D5),21)=0))</f>
        <v>1</v>
      </c>
    </row>
    <row r="6" spans="1:12" x14ac:dyDescent="0.2">
      <c r="A6" t="s">
        <v>74</v>
      </c>
      <c r="B6" t="s">
        <v>49</v>
      </c>
      <c r="C6" s="4">
        <f t="shared" si="2"/>
        <v>46115</v>
      </c>
      <c r="D6" s="4">
        <f>'Release Date'!$B$1-F6</f>
        <v>46282</v>
      </c>
      <c r="E6" s="3">
        <v>167</v>
      </c>
      <c r="F6">
        <v>84</v>
      </c>
      <c r="G6" t="s">
        <v>50</v>
      </c>
      <c r="I6" t="s">
        <v>58</v>
      </c>
      <c r="J6" s="2" t="b">
        <f>IF(C6="","",(MOD(_xlfn.DAYS('Release Date'!$B$1,(C6+20)),21)=0))</f>
        <v>1</v>
      </c>
      <c r="K6" s="2" t="b">
        <f>IF(D6="","",(MOD(_xlfn.DAYS('Release Date'!$B$1,D6),21)=0))</f>
        <v>1</v>
      </c>
      <c r="L6" s="2"/>
    </row>
    <row r="7" spans="1:12" x14ac:dyDescent="0.2">
      <c r="A7" t="s">
        <v>75</v>
      </c>
      <c r="B7" t="s">
        <v>39</v>
      </c>
      <c r="C7" s="4">
        <f t="shared" ref="C7:C19" si="3">D7-E7</f>
        <v>46115</v>
      </c>
      <c r="D7" s="4">
        <f>'Release Date'!$B$1-F7</f>
        <v>46282</v>
      </c>
      <c r="E7" s="3">
        <v>167</v>
      </c>
      <c r="F7">
        <v>84</v>
      </c>
      <c r="G7" t="s">
        <v>40</v>
      </c>
      <c r="I7" t="s">
        <v>59</v>
      </c>
      <c r="J7" s="2" t="b">
        <f>IF(C7="","",(MOD(_xlfn.DAYS('Release Date'!$B$1,(C7+20)),21)=0))</f>
        <v>1</v>
      </c>
      <c r="K7" s="2" t="b">
        <f>IF(D7="","",(MOD(_xlfn.DAYS('Release Date'!$B$1,D7),21)=0))</f>
        <v>1</v>
      </c>
      <c r="L7" s="2"/>
    </row>
    <row r="8" spans="1:12" x14ac:dyDescent="0.2">
      <c r="A8" t="s">
        <v>76</v>
      </c>
      <c r="B8" t="s">
        <v>25</v>
      </c>
      <c r="C8" s="4">
        <f t="shared" si="3"/>
        <v>46115</v>
      </c>
      <c r="D8" s="4">
        <f>'Release Date'!$B$1-F8</f>
        <v>46303</v>
      </c>
      <c r="E8">
        <v>188</v>
      </c>
      <c r="F8">
        <v>63</v>
      </c>
      <c r="G8" t="s">
        <v>38</v>
      </c>
      <c r="I8" t="s">
        <v>60</v>
      </c>
      <c r="J8" s="2" t="b">
        <f>IF(C8="","",(MOD(_xlfn.DAYS('Release Date'!$B$1,(C8+20)),21)=0))</f>
        <v>1</v>
      </c>
      <c r="K8" s="2" t="b">
        <f>IF(D8="","",(MOD(_xlfn.DAYS('Release Date'!$B$1,D8),21)=0))</f>
        <v>1</v>
      </c>
      <c r="L8" s="2"/>
    </row>
    <row r="9" spans="1:12" x14ac:dyDescent="0.2">
      <c r="A9" t="s">
        <v>77</v>
      </c>
      <c r="B9" t="s">
        <v>25</v>
      </c>
      <c r="C9" s="4">
        <f t="shared" si="3"/>
        <v>46282</v>
      </c>
      <c r="D9" s="4">
        <f>'Release Date'!$B$1-F9</f>
        <v>46282</v>
      </c>
      <c r="E9">
        <v>0</v>
      </c>
      <c r="F9">
        <v>84</v>
      </c>
      <c r="G9" t="s">
        <v>30</v>
      </c>
      <c r="I9" t="s">
        <v>60</v>
      </c>
      <c r="J9" s="2" t="b">
        <f>IF(C9="","",(MOD(_xlfn.DAYS('Release Date'!$B$1,(C9+20)),21)=0))</f>
        <v>0</v>
      </c>
      <c r="K9" s="2" t="b">
        <f>IF(D9="","",(MOD(_xlfn.DAYS('Release Date'!$B$1,D9),21)=0))</f>
        <v>1</v>
      </c>
      <c r="L9" s="2"/>
    </row>
    <row r="10" spans="1:12" x14ac:dyDescent="0.2">
      <c r="A10" t="s">
        <v>78</v>
      </c>
      <c r="B10" t="s">
        <v>54</v>
      </c>
      <c r="C10" s="4">
        <f t="shared" ref="C10:C11" si="4">D10-E10</f>
        <v>46283</v>
      </c>
      <c r="D10" s="4">
        <f>'Release Date'!$B$1-F10</f>
        <v>46303</v>
      </c>
      <c r="E10">
        <v>20</v>
      </c>
      <c r="F10">
        <v>63</v>
      </c>
      <c r="G10" t="s">
        <v>66</v>
      </c>
      <c r="H10" t="s">
        <v>65</v>
      </c>
      <c r="I10" t="s">
        <v>56</v>
      </c>
      <c r="J10" s="2" t="b">
        <f>IF(C10="","",(MOD(_xlfn.DAYS('Release Date'!$B$1,(C10+20)),21)=0))</f>
        <v>1</v>
      </c>
      <c r="K10" s="2" t="b">
        <f>IF(D10="","",(MOD(_xlfn.DAYS('Release Date'!$B$1,D10),21)=0))</f>
        <v>1</v>
      </c>
      <c r="L10" s="2"/>
    </row>
    <row r="11" spans="1:12" x14ac:dyDescent="0.2">
      <c r="A11" t="s">
        <v>79</v>
      </c>
      <c r="B11" t="s">
        <v>63</v>
      </c>
      <c r="C11" s="4">
        <f t="shared" si="4"/>
        <v>46283</v>
      </c>
      <c r="D11" s="4">
        <f>'Release Date'!$B$1-F11</f>
        <v>46303</v>
      </c>
      <c r="E11">
        <v>20</v>
      </c>
      <c r="F11">
        <v>63</v>
      </c>
      <c r="G11" t="s">
        <v>64</v>
      </c>
      <c r="I11" t="s">
        <v>69</v>
      </c>
      <c r="J11" s="2"/>
      <c r="K11" s="2"/>
      <c r="L11" s="2"/>
    </row>
    <row r="12" spans="1:12" x14ac:dyDescent="0.2">
      <c r="A12" t="s">
        <v>80</v>
      </c>
      <c r="B12" t="s">
        <v>25</v>
      </c>
      <c r="C12" s="4">
        <f t="shared" si="3"/>
        <v>46283</v>
      </c>
      <c r="D12" s="4">
        <f>'Release Date'!$B$1-F12</f>
        <v>46303</v>
      </c>
      <c r="E12">
        <v>20</v>
      </c>
      <c r="F12">
        <v>63</v>
      </c>
      <c r="G12" t="s">
        <v>37</v>
      </c>
      <c r="H12" t="s">
        <v>27</v>
      </c>
      <c r="I12" t="s">
        <v>60</v>
      </c>
      <c r="J12" s="2" t="b">
        <f>IF(C12="","",(MOD(_xlfn.DAYS('Release Date'!$B$1,(C12+20)),21)=0))</f>
        <v>1</v>
      </c>
      <c r="K12" s="2" t="b">
        <f>IF(D12="","",(MOD(_xlfn.DAYS('Release Date'!$B$1,D12),21)=0))</f>
        <v>1</v>
      </c>
      <c r="L12" s="2"/>
    </row>
    <row r="13" spans="1:12" x14ac:dyDescent="0.2">
      <c r="A13" t="s">
        <v>82</v>
      </c>
      <c r="B13" t="s">
        <v>25</v>
      </c>
      <c r="C13" s="4">
        <f t="shared" si="3"/>
        <v>46283</v>
      </c>
      <c r="D13" s="4">
        <f>'Release Date'!$B$1-F13</f>
        <v>46303</v>
      </c>
      <c r="E13">
        <v>20</v>
      </c>
      <c r="F13">
        <v>63</v>
      </c>
      <c r="G13" t="s">
        <v>36</v>
      </c>
      <c r="H13" t="s">
        <v>32</v>
      </c>
      <c r="I13" t="s">
        <v>60</v>
      </c>
      <c r="J13" s="2" t="b">
        <f>IF(C13="","",(MOD(_xlfn.DAYS('Release Date'!$B$1,(C13+20)),21)=0))</f>
        <v>1</v>
      </c>
      <c r="K13" s="2" t="b">
        <f>IF(D13="","",(MOD(_xlfn.DAYS('Release Date'!$B$1,D13),21)=0))</f>
        <v>1</v>
      </c>
      <c r="L13" s="2"/>
    </row>
    <row r="14" spans="1:12" x14ac:dyDescent="0.2">
      <c r="A14" t="s">
        <v>81</v>
      </c>
      <c r="B14" t="s">
        <v>5</v>
      </c>
      <c r="C14" s="4">
        <f t="shared" si="3"/>
        <v>46304</v>
      </c>
      <c r="D14" s="4">
        <f>'Release Date'!$B$1-F14</f>
        <v>46345</v>
      </c>
      <c r="E14">
        <v>41</v>
      </c>
      <c r="F14">
        <v>21</v>
      </c>
      <c r="G14" t="s">
        <v>18</v>
      </c>
      <c r="H14" t="s">
        <v>3</v>
      </c>
      <c r="I14" t="s">
        <v>61</v>
      </c>
      <c r="J14" s="2" t="b">
        <f>IF(C14="","",(MOD(_xlfn.DAYS('Release Date'!$B$1,(C14+20)),21)=0))</f>
        <v>1</v>
      </c>
      <c r="K14" s="2" t="b">
        <f>IF(D14="","",(MOD(_xlfn.DAYS('Release Date'!$B$1,D14),21)=0))</f>
        <v>1</v>
      </c>
      <c r="L14" s="2"/>
    </row>
    <row r="15" spans="1:12" x14ac:dyDescent="0.2">
      <c r="A15" t="s">
        <v>83</v>
      </c>
      <c r="B15" t="s">
        <v>5</v>
      </c>
      <c r="C15" s="4">
        <f t="shared" si="3"/>
        <v>46304</v>
      </c>
      <c r="D15" s="4">
        <f>'Release Date'!$B$1-F15</f>
        <v>46345</v>
      </c>
      <c r="E15">
        <v>41</v>
      </c>
      <c r="F15">
        <v>21</v>
      </c>
      <c r="G15" t="s">
        <v>19</v>
      </c>
      <c r="H15" t="s">
        <v>9</v>
      </c>
      <c r="I15" t="s">
        <v>61</v>
      </c>
      <c r="J15" s="2" t="b">
        <f>IF(C15="","",(MOD(_xlfn.DAYS('Release Date'!$B$1,(C15+20)),21)=0))</f>
        <v>1</v>
      </c>
      <c r="K15" s="2" t="b">
        <f>IF(D15="","",(MOD(_xlfn.DAYS('Release Date'!$B$1,D15),21)=0))</f>
        <v>1</v>
      </c>
      <c r="L15" s="2"/>
    </row>
    <row r="16" spans="1:12" x14ac:dyDescent="0.2">
      <c r="A16" t="s">
        <v>85</v>
      </c>
      <c r="B16" t="s">
        <v>5</v>
      </c>
      <c r="C16" s="4">
        <f t="shared" si="3"/>
        <v>46304</v>
      </c>
      <c r="D16" s="4">
        <f>'Release Date'!$B$1-F16</f>
        <v>46345</v>
      </c>
      <c r="E16">
        <v>41</v>
      </c>
      <c r="F16">
        <v>21</v>
      </c>
      <c r="G16" t="s">
        <v>20</v>
      </c>
      <c r="H16" t="s">
        <v>11</v>
      </c>
      <c r="I16" t="s">
        <v>61</v>
      </c>
      <c r="J16" s="2" t="b">
        <f>IF(C16="","",(MOD(_xlfn.DAYS('Release Date'!$B$1,(C16+20)),21)=0))</f>
        <v>1</v>
      </c>
      <c r="K16" s="2" t="b">
        <f>IF(D16="","",(MOD(_xlfn.DAYS('Release Date'!$B$1,D16),21)=0))</f>
        <v>1</v>
      </c>
      <c r="L16" s="2"/>
    </row>
    <row r="17" spans="1:12" x14ac:dyDescent="0.2">
      <c r="A17" t="s">
        <v>84</v>
      </c>
      <c r="B17" t="s">
        <v>5</v>
      </c>
      <c r="C17" s="4">
        <f t="shared" si="3"/>
        <v>46304</v>
      </c>
      <c r="D17" s="4">
        <f>'Release Date'!$B$1-F17</f>
        <v>46325</v>
      </c>
      <c r="E17">
        <v>21</v>
      </c>
      <c r="F17">
        <v>41</v>
      </c>
      <c r="G17" t="s">
        <v>23</v>
      </c>
      <c r="I17" t="s">
        <v>61</v>
      </c>
      <c r="J17" s="2" t="b">
        <f>IF(C17="","",(MOD(_xlfn.DAYS('Release Date'!$B$1,(C17+20)),21)=0))</f>
        <v>1</v>
      </c>
      <c r="K17" s="2" t="b">
        <f>IF(D17="","",(MOD(_xlfn.DAYS('Release Date'!$B$1,D17),21)=0))</f>
        <v>0</v>
      </c>
      <c r="L17" s="2"/>
    </row>
    <row r="18" spans="1:12" x14ac:dyDescent="0.2">
      <c r="A18" t="s">
        <v>86</v>
      </c>
      <c r="B18" t="s">
        <v>5</v>
      </c>
      <c r="C18" s="4">
        <f t="shared" si="3"/>
        <v>46325</v>
      </c>
      <c r="D18" s="4">
        <f>'Release Date'!$B$1-F18</f>
        <v>46366</v>
      </c>
      <c r="E18">
        <v>41</v>
      </c>
      <c r="F18">
        <v>0</v>
      </c>
      <c r="G18" t="s">
        <v>22</v>
      </c>
      <c r="H18" t="s">
        <v>15</v>
      </c>
      <c r="I18" t="s">
        <v>61</v>
      </c>
      <c r="J18" s="2" t="b">
        <f>IF(C18="","",(MOD(_xlfn.DAYS('Release Date'!$B$1,(C18+20)),21)=0))</f>
        <v>1</v>
      </c>
      <c r="K18" s="2" t="b">
        <f>IF(D18="","",(MOD(_xlfn.DAYS('Release Date'!$B$1,D18),21)=0))</f>
        <v>1</v>
      </c>
      <c r="L18" s="2"/>
    </row>
    <row r="19" spans="1:12" x14ac:dyDescent="0.2">
      <c r="A19" t="s">
        <v>87</v>
      </c>
      <c r="B19" t="s">
        <v>5</v>
      </c>
      <c r="C19" s="4">
        <f t="shared" si="3"/>
        <v>46346</v>
      </c>
      <c r="D19" s="4">
        <f>'Release Date'!$B$1-F19</f>
        <v>46366</v>
      </c>
      <c r="E19">
        <v>20</v>
      </c>
      <c r="F19">
        <v>0</v>
      </c>
      <c r="G19" t="s">
        <v>21</v>
      </c>
      <c r="H19" t="s">
        <v>51</v>
      </c>
      <c r="I19" t="s">
        <v>61</v>
      </c>
      <c r="J19" s="2" t="b">
        <f>IF(C19="","",(MOD(_xlfn.DAYS('Release Date'!$B$1,(C19+20)),21)=0))</f>
        <v>1</v>
      </c>
      <c r="K19" s="2" t="b">
        <f>IF(D19="","",(MOD(_xlfn.DAYS('Release Date'!$B$1,D19),21)=0))</f>
        <v>1</v>
      </c>
      <c r="L19" s="2"/>
    </row>
    <row r="20" spans="1:12" x14ac:dyDescent="0.2">
      <c r="C20" s="4"/>
      <c r="D20" s="4"/>
    </row>
    <row r="21" spans="1:12" x14ac:dyDescent="0.2">
      <c r="C21" s="4"/>
      <c r="D21" s="4"/>
    </row>
    <row r="22" spans="1:12" x14ac:dyDescent="0.2">
      <c r="C22" s="4"/>
      <c r="D22" s="4"/>
    </row>
    <row r="23" spans="1:12" x14ac:dyDescent="0.2">
      <c r="C23" s="4"/>
      <c r="D23" s="4"/>
    </row>
    <row r="24" spans="1:12" x14ac:dyDescent="0.2">
      <c r="C24" s="4"/>
      <c r="D24" s="4"/>
    </row>
    <row r="25" spans="1:12" x14ac:dyDescent="0.2">
      <c r="C25" s="4"/>
      <c r="D25" s="4"/>
    </row>
    <row r="26" spans="1:12" x14ac:dyDescent="0.2">
      <c r="C26" s="4"/>
      <c r="D26" s="4"/>
    </row>
    <row r="27" spans="1:12" x14ac:dyDescent="0.2">
      <c r="C27" s="4"/>
      <c r="D2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3B976-BCDA-D945-919B-7C561A0B150A}">
  <dimension ref="A1:H17"/>
  <sheetViews>
    <sheetView workbookViewId="0">
      <selection activeCell="D18" sqref="D18"/>
    </sheetView>
  </sheetViews>
  <sheetFormatPr baseColWidth="10" defaultRowHeight="16" x14ac:dyDescent="0.2"/>
  <cols>
    <col min="1" max="1" width="55.1640625" bestFit="1" customWidth="1"/>
    <col min="2" max="3" width="23.83203125" customWidth="1"/>
    <col min="4" max="4" width="15.5" bestFit="1" customWidth="1"/>
    <col min="5" max="5" width="15.5" customWidth="1"/>
    <col min="6" max="6" width="27.5" bestFit="1" customWidth="1"/>
    <col min="7" max="7" width="31.83203125" bestFit="1" customWidth="1"/>
    <col min="8" max="8" width="10.83203125" customWidth="1"/>
  </cols>
  <sheetData>
    <row r="1" spans="1:8" x14ac:dyDescent="0.2">
      <c r="A1" t="s">
        <v>0</v>
      </c>
      <c r="B1" t="s">
        <v>4</v>
      </c>
      <c r="C1" t="s">
        <v>6</v>
      </c>
      <c r="D1" t="s">
        <v>7</v>
      </c>
      <c r="E1" t="s">
        <v>34</v>
      </c>
      <c r="F1" t="s">
        <v>35</v>
      </c>
      <c r="G1" t="s">
        <v>17</v>
      </c>
      <c r="H1" t="s">
        <v>2</v>
      </c>
    </row>
    <row r="2" spans="1:8" x14ac:dyDescent="0.2">
      <c r="A2" t="s">
        <v>53</v>
      </c>
      <c r="B2" t="s">
        <v>54</v>
      </c>
      <c r="C2" s="4">
        <v>45737</v>
      </c>
      <c r="D2" s="4">
        <v>45778</v>
      </c>
      <c r="E2" s="2">
        <f t="shared" ref="E2:E17" si="0">_xlfn.DAYS(D2,C2)</f>
        <v>41</v>
      </c>
      <c r="F2" s="2">
        <f>_xlfn.DAYS('Release Date'!$B$1,D2)</f>
        <v>588</v>
      </c>
      <c r="G2" s="2"/>
    </row>
    <row r="3" spans="1:8" x14ac:dyDescent="0.2">
      <c r="A3" t="s">
        <v>62</v>
      </c>
      <c r="B3" t="s">
        <v>25</v>
      </c>
      <c r="C3" s="4">
        <v>45926</v>
      </c>
      <c r="D3" s="4">
        <v>45946</v>
      </c>
      <c r="E3" s="2">
        <f t="shared" si="0"/>
        <v>20</v>
      </c>
      <c r="F3" s="2">
        <f>_xlfn.DAYS('Release Date'!$B$1,D3)</f>
        <v>420</v>
      </c>
      <c r="G3" s="2"/>
    </row>
    <row r="4" spans="1:8" x14ac:dyDescent="0.2">
      <c r="A4" t="s">
        <v>24</v>
      </c>
      <c r="B4" t="s">
        <v>25</v>
      </c>
      <c r="C4" s="4">
        <v>45757</v>
      </c>
      <c r="D4" s="4">
        <v>45946</v>
      </c>
      <c r="E4" s="2">
        <f t="shared" si="0"/>
        <v>189</v>
      </c>
      <c r="F4" s="2">
        <f>_xlfn.DAYS('Release Date'!$B$1,D4)</f>
        <v>420</v>
      </c>
      <c r="G4" s="2"/>
    </row>
    <row r="5" spans="1:8" x14ac:dyDescent="0.2">
      <c r="A5" t="s">
        <v>29</v>
      </c>
      <c r="B5" t="s">
        <v>25</v>
      </c>
      <c r="C5" s="4">
        <v>45926</v>
      </c>
      <c r="D5" s="4">
        <v>45926</v>
      </c>
      <c r="E5" s="2">
        <f t="shared" si="0"/>
        <v>0</v>
      </c>
      <c r="F5" s="2">
        <f>_xlfn.DAYS('Release Date'!$B$1,D5)</f>
        <v>440</v>
      </c>
      <c r="G5" t="s">
        <v>30</v>
      </c>
    </row>
    <row r="6" spans="1:8" x14ac:dyDescent="0.2">
      <c r="A6" t="s">
        <v>26</v>
      </c>
      <c r="B6" t="s">
        <v>25</v>
      </c>
      <c r="C6" s="4">
        <v>45926</v>
      </c>
      <c r="D6" s="4">
        <v>45946</v>
      </c>
      <c r="E6" s="2">
        <f t="shared" si="0"/>
        <v>20</v>
      </c>
      <c r="F6" s="2">
        <f>_xlfn.DAYS('Release Date'!$B$1,D6)</f>
        <v>420</v>
      </c>
      <c r="G6" s="2" t="s">
        <v>28</v>
      </c>
      <c r="H6" t="s">
        <v>27</v>
      </c>
    </row>
    <row r="7" spans="1:8" x14ac:dyDescent="0.2">
      <c r="A7" t="s">
        <v>31</v>
      </c>
      <c r="B7" t="s">
        <v>25</v>
      </c>
      <c r="C7" s="4">
        <v>45926</v>
      </c>
      <c r="D7" s="4">
        <v>45946</v>
      </c>
      <c r="E7" s="2">
        <f t="shared" si="0"/>
        <v>20</v>
      </c>
      <c r="F7" s="2">
        <f>_xlfn.DAYS('Release Date'!$B$1,D7)</f>
        <v>420</v>
      </c>
      <c r="G7" s="2"/>
      <c r="H7" t="s">
        <v>32</v>
      </c>
    </row>
    <row r="8" spans="1:8" x14ac:dyDescent="0.2">
      <c r="A8" t="s">
        <v>1</v>
      </c>
      <c r="B8" t="s">
        <v>5</v>
      </c>
      <c r="C8" s="4">
        <v>45947</v>
      </c>
      <c r="D8" s="4">
        <v>45988</v>
      </c>
      <c r="E8" s="2">
        <f t="shared" si="0"/>
        <v>41</v>
      </c>
      <c r="F8" s="2">
        <f>_xlfn.DAYS('Release Date'!$B$1,D8)</f>
        <v>378</v>
      </c>
      <c r="G8" s="2" t="s">
        <v>18</v>
      </c>
      <c r="H8" t="s">
        <v>3</v>
      </c>
    </row>
    <row r="9" spans="1:8" x14ac:dyDescent="0.2">
      <c r="A9" t="s">
        <v>8</v>
      </c>
      <c r="B9" t="s">
        <v>5</v>
      </c>
      <c r="C9" s="4">
        <v>45947</v>
      </c>
      <c r="D9" s="4">
        <v>45988</v>
      </c>
      <c r="E9" s="2">
        <f t="shared" si="0"/>
        <v>41</v>
      </c>
      <c r="F9" s="2">
        <f>_xlfn.DAYS('Release Date'!$B$1,D9)</f>
        <v>378</v>
      </c>
      <c r="G9" s="2" t="s">
        <v>19</v>
      </c>
      <c r="H9" t="s">
        <v>9</v>
      </c>
    </row>
    <row r="10" spans="1:8" x14ac:dyDescent="0.2">
      <c r="A10" t="s">
        <v>10</v>
      </c>
      <c r="B10" t="s">
        <v>5</v>
      </c>
      <c r="C10" s="4">
        <v>45947</v>
      </c>
      <c r="D10" s="4">
        <v>45988</v>
      </c>
      <c r="E10" s="2">
        <f t="shared" si="0"/>
        <v>41</v>
      </c>
      <c r="F10" s="2">
        <f>_xlfn.DAYS('Release Date'!$B$1,D10)</f>
        <v>378</v>
      </c>
      <c r="G10" s="2" t="s">
        <v>20</v>
      </c>
      <c r="H10" t="s">
        <v>11</v>
      </c>
    </row>
    <row r="11" spans="1:8" x14ac:dyDescent="0.2">
      <c r="A11" t="s">
        <v>16</v>
      </c>
      <c r="B11" t="s">
        <v>5</v>
      </c>
      <c r="C11" s="4">
        <v>45957</v>
      </c>
      <c r="D11" s="4">
        <v>45967</v>
      </c>
      <c r="E11" s="2">
        <f t="shared" si="0"/>
        <v>10</v>
      </c>
      <c r="F11" s="2">
        <f>_xlfn.DAYS('Release Date'!$B$1,D11)</f>
        <v>399</v>
      </c>
      <c r="G11" s="2" t="s">
        <v>23</v>
      </c>
    </row>
    <row r="12" spans="1:8" x14ac:dyDescent="0.2">
      <c r="A12" t="s">
        <v>14</v>
      </c>
      <c r="B12" t="s">
        <v>5</v>
      </c>
      <c r="C12" s="4">
        <v>45968</v>
      </c>
      <c r="D12" s="4">
        <v>46009</v>
      </c>
      <c r="E12" s="2">
        <f t="shared" si="0"/>
        <v>41</v>
      </c>
      <c r="F12" s="2">
        <f>_xlfn.DAYS('Release Date'!$B$1,D12)</f>
        <v>357</v>
      </c>
      <c r="G12" t="s">
        <v>22</v>
      </c>
      <c r="H12" t="s">
        <v>15</v>
      </c>
    </row>
    <row r="13" spans="1:8" x14ac:dyDescent="0.2">
      <c r="A13" t="s">
        <v>12</v>
      </c>
      <c r="B13" t="s">
        <v>5</v>
      </c>
      <c r="C13" s="4">
        <v>45989</v>
      </c>
      <c r="D13" s="4">
        <v>46009</v>
      </c>
      <c r="E13" s="2">
        <f t="shared" si="0"/>
        <v>20</v>
      </c>
      <c r="F13" s="2">
        <f>_xlfn.DAYS('Release Date'!$B$1,D13)</f>
        <v>357</v>
      </c>
      <c r="G13" s="2" t="s">
        <v>21</v>
      </c>
      <c r="H13" t="s">
        <v>13</v>
      </c>
    </row>
    <row r="14" spans="1:8" x14ac:dyDescent="0.2">
      <c r="E14" s="2">
        <f t="shared" si="0"/>
        <v>0</v>
      </c>
      <c r="F14" s="2"/>
      <c r="G14" s="2"/>
    </row>
    <row r="15" spans="1:8" x14ac:dyDescent="0.2">
      <c r="E15" s="2">
        <f t="shared" si="0"/>
        <v>0</v>
      </c>
      <c r="F15" s="2"/>
      <c r="G15" s="2"/>
    </row>
    <row r="16" spans="1:8" x14ac:dyDescent="0.2">
      <c r="E16" s="2">
        <f t="shared" si="0"/>
        <v>0</v>
      </c>
      <c r="F16" s="2"/>
      <c r="G16" s="2"/>
    </row>
    <row r="17" spans="5:7" x14ac:dyDescent="0.2">
      <c r="E17" s="2">
        <f t="shared" si="0"/>
        <v>0</v>
      </c>
      <c r="F17" s="2"/>
      <c r="G17" s="2"/>
    </row>
  </sheetData>
  <autoFilter ref="A1:H13" xr:uid="{1773B976-BCDA-D945-919B-7C561A0B150A}">
    <sortState xmlns:xlrd2="http://schemas.microsoft.com/office/spreadsheetml/2017/richdata2" ref="A2:H17">
      <sortCondition ref="C1:C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Release Date</vt:lpstr>
      <vt:lpstr>b18_schedule_prep_spreadsheet</vt:lpstr>
      <vt:lpstr>b17_schedule_prep_spreadsheet</vt:lpstr>
      <vt:lpstr>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Padams, Jordan H (US 398A)</dc:creator>
  <cp:lastModifiedBy>Padams, Jordan H (US 342A)</cp:lastModifiedBy>
  <dcterms:created xsi:type="dcterms:W3CDTF">2026-01-09T16:53:35Z</dcterms:created>
  <dcterms:modified xsi:type="dcterms:W3CDTF">2026-03-28T13:51:49Z</dcterms:modified>
</cp:coreProperties>
</file>